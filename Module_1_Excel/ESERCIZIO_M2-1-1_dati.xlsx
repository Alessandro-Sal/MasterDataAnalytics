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st/Excel/Pratica 1/"/>
    </mc:Choice>
  </mc:AlternateContent>
  <xr:revisionPtr revIDLastSave="152" documentId="8_{C52601E8-6FB9-47B5-A291-0ABFA279014D}" xr6:coauthVersionLast="47" xr6:coauthVersionMax="47" xr10:uidLastSave="{E32C87E9-04AC-4EEF-8993-4DEDE5B79F40}"/>
  <bookViews>
    <workbookView xWindow="38280" yWindow="2220" windowWidth="29040" windowHeight="157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Fatture!$A$1:$X$1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5" i="3" l="1"/>
  <c r="H26" i="3"/>
  <c r="H27" i="3"/>
  <c r="H24" i="3"/>
  <c r="H19" i="3"/>
  <c r="H20" i="3"/>
  <c r="H18" i="3"/>
  <c r="H10" i="3"/>
  <c r="H11" i="3"/>
  <c r="H12" i="3"/>
  <c r="H13" i="3"/>
  <c r="H14" i="3"/>
  <c r="H15" i="3"/>
  <c r="H9" i="3"/>
  <c r="H3" i="3"/>
  <c r="H4" i="3"/>
  <c r="H5" i="3"/>
  <c r="H2" i="3"/>
  <c r="D3" i="2"/>
  <c r="D4" i="2"/>
  <c r="D5" i="2"/>
  <c r="D6" i="2"/>
  <c r="D7" i="2"/>
  <c r="D8" i="2"/>
  <c r="D2" i="2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<sst xmlns="http://schemas.openxmlformats.org/spreadsheetml/2006/main" count="835" uniqueCount="580">
  <si>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</si>
  <si>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</si>
  <si>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</si>
  <si>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</si>
  <si>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</si>
  <si>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</si>
  <si>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</si>
  <si>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</si>
  <si>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</si>
  <si>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</si>
  <si>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</si>
  <si>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</si>
  <si>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</si>
  <si>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</si>
  <si>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</si>
  <si>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</si>
  <si>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</si>
  <si>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</si>
  <si>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</si>
  <si>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</si>
  <si>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</si>
  <si>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</si>
  <si>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</si>
  <si>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</si>
  <si>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</si>
  <si>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</si>
  <si>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</si>
  <si>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</si>
  <si>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</si>
  <si>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</si>
  <si>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</si>
  <si>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</si>
  <si>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</si>
  <si>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</si>
  <si>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</si>
  <si>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</si>
  <si>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</si>
  <si>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</si>
  <si>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</si>
  <si>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</si>
  <si>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</si>
  <si>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</si>
  <si>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</si>
  <si>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</si>
  <si>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</si>
  <si>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</si>
  <si>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</si>
  <si>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</si>
  <si>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</si>
  <si>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</si>
  <si>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</si>
  <si>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</si>
  <si>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</si>
  <si>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</si>
  <si>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</si>
  <si>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</si>
  <si>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</si>
  <si>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</si>
  <si>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</si>
  <si>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</si>
  <si>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</si>
  <si>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</si>
  <si>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</si>
  <si>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</si>
  <si>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</si>
  <si>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</si>
  <si>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</si>
  <si>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</si>
  <si>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</si>
  <si>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</si>
  <si>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</si>
  <si>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</si>
  <si>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</si>
  <si>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</si>
  <si>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</si>
  <si>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</si>
  <si>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</si>
  <si>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</si>
  <si>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</si>
  <si>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</si>
  <si>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</si>
  <si>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</si>
  <si>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</si>
  <si>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</si>
  <si>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</si>
  <si>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</si>
  <si>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</si>
  <si>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</si>
  <si>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</si>
  <si>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</si>
  <si>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</si>
  <si>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</si>
  <si>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</si>
  <si>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</si>
  <si>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</si>
  <si>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</si>
  <si>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</si>
  <si>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</si>
  <si>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</si>
  <si>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</si>
  <si>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</si>
  <si>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</si>
  <si>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</si>
  <si>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</si>
  <si>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</si>
  <si>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</si>
  <si>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</si>
  <si>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</si>
  <si>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</si>
  <si>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</si>
  <si>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</si>
  <si>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</si>
  <si>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</si>
  <si>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</si>
  <si>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</si>
  <si>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</si>
  <si>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</si>
  <si>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</si>
  <si>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</si>
  <si>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</si>
  <si>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</si>
  <si>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</si>
  <si>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</si>
  <si>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</si>
  <si>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</si>
  <si>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</si>
  <si>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</si>
  <si>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</si>
  <si>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</si>
  <si>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</si>
  <si>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</si>
  <si>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</si>
  <si>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</si>
  <si>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</si>
  <si>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</si>
  <si>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</si>
  <si>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</si>
  <si>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</si>
  <si>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</si>
  <si>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</si>
  <si>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</si>
  <si>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</si>
  <si>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</si>
  <si>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</si>
  <si>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</si>
  <si>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</si>
  <si>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</si>
  <si>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</si>
  <si>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</si>
  <si>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</si>
  <si>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</si>
  <si>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</si>
  <si>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</si>
  <si>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</si>
  <si>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</si>
  <si>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</si>
  <si>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</si>
  <si>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</si>
  <si>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</si>
  <si>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</si>
  <si>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</si>
  <si>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</si>
  <si>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</si>
  <si>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</si>
  <si>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</si>
  <si>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</si>
  <si>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</si>
  <si>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</si>
  <si>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</si>
  <si>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</si>
  <si>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</si>
  <si>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</si>
  <si>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</si>
  <si>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</si>
  <si>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</si>
  <si>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</si>
  <si>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</si>
  <si>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</si>
  <si>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</si>
  <si>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</si>
  <si>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</si>
  <si>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</si>
  <si>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</si>
  <si>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</si>
  <si>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</si>
  <si>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</si>
  <si>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</si>
  <si>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</si>
  <si>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</si>
  <si>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</si>
  <si>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</si>
  <si>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</si>
  <si>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</si>
  <si>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</si>
  <si>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</si>
  <si>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</si>
  <si>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</si>
  <si>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</si>
  <si>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</si>
  <si>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</si>
  <si>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</si>
  <si>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</si>
  <si>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</si>
  <si>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</si>
  <si>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</si>
  <si>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</si>
  <si>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</si>
  <si>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</si>
  <si>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</si>
  <si>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</si>
  <si>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</si>
  <si>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</si>
  <si>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</si>
  <si>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</si>
  <si>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</si>
  <si>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</si>
  <si>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</si>
  <si>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</si>
  <si>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</si>
  <si>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</si>
  <si>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</si>
  <si>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</si>
  <si>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</si>
  <si>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</si>
  <si>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</si>
  <si>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</si>
  <si>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</si>
  <si>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</si>
  <si>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</si>
  <si>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</si>
  <si>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</si>
  <si>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</si>
  <si>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</si>
  <si>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</si>
  <si>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</si>
  <si>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</si>
  <si>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</si>
  <si>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</si>
  <si>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</si>
  <si>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</si>
  <si>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</si>
  <si>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</si>
  <si>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</si>
  <si>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</si>
  <si>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</si>
  <si>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</si>
  <si>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</si>
  <si>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</si>
  <si>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</si>
  <si>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</si>
  <si>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</si>
  <si>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</si>
  <si>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</si>
  <si>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</si>
  <si>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</si>
  <si>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</si>
  <si>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</si>
  <si>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</si>
  <si>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</si>
  <si>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</si>
  <si>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</si>
  <si>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</si>
  <si>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</si>
  <si>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</si>
  <si>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</si>
  <si>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</si>
  <si>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</si>
  <si>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</si>
  <si>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</si>
  <si>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</si>
  <si>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</si>
  <si>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</si>
  <si>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</si>
  <si>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</si>
  <si>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</si>
  <si>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</si>
  <si>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</si>
  <si>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</si>
  <si>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</si>
  <si>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</si>
  <si>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</si>
  <si>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</si>
  <si>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</si>
  <si>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</si>
  <si>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</si>
  <si>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</si>
  <si>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</si>
  <si>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</si>
  <si>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</si>
  <si>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</si>
  <si>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</si>
  <si>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</si>
  <si>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</si>
  <si>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</si>
  <si>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</si>
  <si>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</si>
  <si>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</si>
  <si>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</si>
  <si>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</si>
  <si>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</si>
  <si>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</si>
  <si>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</si>
  <si>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</si>
  <si>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</si>
  <si>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</si>
  <si>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</si>
  <si>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</si>
  <si>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</si>
  <si>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</si>
  <si>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</si>
  <si>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</si>
  <si>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</si>
  <si>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</si>
  <si>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</si>
  <si>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</si>
  <si>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</si>
  <si>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</si>
  <si>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</si>
  <si>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</si>
  <si>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</si>
  <si>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</si>
  <si>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</si>
  <si>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</si>
  <si>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</si>
  <si>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</si>
  <si>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</si>
  <si>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</si>
  <si>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</si>
  <si>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</si>
  <si>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</si>
  <si>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</si>
  <si>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</si>
  <si>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</si>
  <si>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</si>
  <si>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</si>
  <si>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</si>
  <si>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</si>
  <si>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</si>
  <si>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</si>
  <si>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</si>
  <si>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</si>
  <si>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</si>
  <si>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</si>
  <si>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</si>
  <si>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</si>
  <si>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</si>
  <si>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</si>
  <si>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</si>
  <si>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</si>
  <si>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</si>
  <si>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</si>
  <si>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</si>
  <si>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</si>
  <si>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</si>
  <si>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</si>
  <si>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</si>
  <si>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</si>
  <si>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</si>
  <si>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</si>
  <si>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</si>
  <si>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</si>
  <si>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</si>
  <si>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</si>
  <si>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</si>
  <si>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</si>
  <si>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</si>
  <si>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</si>
  <si>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</si>
  <si>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</si>
  <si>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</si>
  <si>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</si>
  <si>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</si>
  <si>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</si>
  <si>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</si>
  <si>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</si>
  <si>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</si>
  <si>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</si>
  <si>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</si>
  <si>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</si>
  <si>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</si>
  <si>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</si>
  <si>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</si>
  <si>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</si>
  <si>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</si>
  <si>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</si>
  <si>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</si>
  <si>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</si>
  <si>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</si>
  <si>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</si>
  <si>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</si>
  <si>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</si>
  <si>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</si>
  <si>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</si>
  <si>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</si>
  <si>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</si>
  <si>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</si>
  <si>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</si>
  <si>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</si>
  <si>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</si>
  <si>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</si>
  <si>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</si>
  <si>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</si>
  <si>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</si>
  <si>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</si>
  <si>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</si>
  <si>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</si>
  <si>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</si>
  <si>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</si>
  <si>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</si>
  <si>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</si>
  <si>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</si>
  <si>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</si>
  <si>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</si>
  <si>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</si>
  <si>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</si>
  <si>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</si>
  <si>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</si>
  <si>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</si>
  <si>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</si>
  <si>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</si>
  <si>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</si>
  <si>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</si>
  <si>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</si>
  <si>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</si>
  <si>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</si>
  <si>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</si>
  <si>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</si>
  <si>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</si>
  <si>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</si>
  <si>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</si>
  <si>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</si>
  <si>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</si>
  <si>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</si>
  <si>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</si>
  <si>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</si>
  <si>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</si>
  <si>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</si>
  <si>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</si>
  <si>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</si>
  <si>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</si>
  <si>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</si>
  <si>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</si>
  <si>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</si>
  <si>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</si>
  <si>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</si>
  <si>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</si>
  <si>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</si>
  <si>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</si>
  <si>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</si>
  <si>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</si>
  <si>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</si>
  <si>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</si>
  <si>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</si>
  <si>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</si>
  <si>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</si>
  <si>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</si>
  <si>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</si>
  <si>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</si>
  <si>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</si>
  <si>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</si>
  <si>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</si>
  <si>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</si>
  <si>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</si>
  <si>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</si>
  <si>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</si>
  <si>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</si>
  <si>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</si>
  <si>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</si>
  <si>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</si>
  <si>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</si>
  <si>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</si>
  <si>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</si>
  <si>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</si>
  <si>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</si>
  <si>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</si>
  <si>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</si>
  <si>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</si>
  <si>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</si>
  <si>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</si>
  <si>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</si>
  <si>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</si>
  <si>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</si>
  <si>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</si>
  <si>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</si>
  <si>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</si>
  <si>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</si>
  <si>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</si>
  <si>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</si>
  <si>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</si>
  <si>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</si>
  <si>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</si>
  <si>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</si>
  <si>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</si>
  <si>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</si>
  <si>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</si>
  <si>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</si>
  <si>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</si>
  <si>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</si>
  <si>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</si>
  <si>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</si>
  <si>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</si>
  <si>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</si>
  <si>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</si>
  <si>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</si>
  <si>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</si>
  <si>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</si>
  <si>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</si>
  <si>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</si>
  <si>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</si>
  <si>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</si>
  <si>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</si>
  <si>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</si>
  <si>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</si>
  <si>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</si>
  <si>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</si>
  <si>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</si>
  <si>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</si>
  <si>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</si>
  <si>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</si>
  <si>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</si>
  <si>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</si>
  <si>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</si>
  <si>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</si>
  <si>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</si>
  <si>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</si>
  <si>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</si>
  <si>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</si>
  <si>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</si>
  <si>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</si>
  <si>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</si>
  <si>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</si>
  <si>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</si>
  <si>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</si>
  <si>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</si>
  <si>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</si>
  <si>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</si>
  <si>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</si>
  <si>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</si>
  <si>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</si>
  <si>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</si>
  <si>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</si>
  <si>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</si>
  <si>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</si>
  <si>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</si>
  <si>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</si>
  <si>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</si>
  <si>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</si>
  <si>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</si>
  <si>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</si>
  <si>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</si>
  <si>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</si>
  <si>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</si>
  <si>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</si>
  <si>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</si>
  <si>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</si>
  <si>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</si>
  <si>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</si>
  <si>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</si>
  <si>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</si>
  <si>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</si>
  <si>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</si>
  <si>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</si>
  <si>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</si>
  <si>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</si>
  <si>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</si>
  <si>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</si>
  <si>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</si>
  <si>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</si>
  <si>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</si>
  <si>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</si>
  <si>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Concat Monitor - Desc</t>
  </si>
  <si>
    <t>Valutazione</t>
  </si>
  <si>
    <t>Base Valutazione</t>
  </si>
  <si>
    <t>Respinto</t>
  </si>
  <si>
    <t>Esiti</t>
  </si>
  <si>
    <t>Sufficiente</t>
  </si>
  <si>
    <t>Discreto</t>
  </si>
  <si>
    <t>Buono</t>
  </si>
  <si>
    <t>Numero fatture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</si>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</sst>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9" fontId="2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Normale" xfId="0" builtinId="0"/>
    <cellStyle name="Percentuale" xfId="1" builtinId="5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171450</xdr:colOff>
      <xdr:row>32</xdr:row>
      <xdr:rowOff>85725</xdr:rowOff>
    </xdr:from>
    <xdr:ext cx="3257550" cy="1514475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793533B-AF41-4463-A3BA-65E07DE9C8D2}"/>
            </a:ext>
          </a:extLst>
        </xdr:cNvPr>
        <xdr:cNvSpPr txBox="1"/>
      </xdr:nvSpPr>
      <xdr:spPr>
        <a:xfrm>
          <a:off x="14344650" y="5267325"/>
          <a:ext cx="3257550" cy="15144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“Assoluti_Ivaˮ: Data Analyst Excel Per ogni riga, calcolate a quanto ammonta lʼIVA del valore in colonna C (“IMPONIBILE IVA INCLUSAˮ) ed inseritelo nella colonna D. Considerate sempre IVA al 20%. Per ogni riga, concatenate i valori in colonna A (“MONITORˮ) e in colonna B (“DESCˮ), separandoli con uno spazio, ed inserite il risultato nella colonna E.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161926</xdr:colOff>
      <xdr:row>0</xdr:row>
      <xdr:rowOff>95250</xdr:rowOff>
    </xdr:from>
    <xdr:ext cx="2686050" cy="182880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85F1370-22ED-23BD-0AD2-0A098ECEDBC9}"/>
            </a:ext>
          </a:extLst>
        </xdr:cNvPr>
        <xdr:cNvSpPr txBox="1"/>
      </xdr:nvSpPr>
      <xdr:spPr>
        <a:xfrm>
          <a:off x="11010901" y="95250"/>
          <a:ext cx="2686050" cy="1828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“Giudizioˮ: Tenendo conto che della seguente relazione tra punteggi ed esiti: punteggio 0 “respintoˮ punteggio 40 “sufficienteˮ punteggio 60 “discretoˮ punteggio 70 “buonoˮ Inserire in colonna C lʼesito per ogni studente. Posso ottenere questo risultato tramite una funzione CERCAVERT? Se sì, come?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533400</xdr:colOff>
      <xdr:row>1</xdr:row>
      <xdr:rowOff>142875</xdr:rowOff>
    </xdr:from>
    <xdr:ext cx="2752725" cy="1352549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BC9E90D-11B4-98FD-AEEC-F82565A03E58}"/>
            </a:ext>
          </a:extLst>
        </xdr:cNvPr>
        <xdr:cNvSpPr txBox="1"/>
      </xdr:nvSpPr>
      <xdr:spPr>
        <a:xfrm>
          <a:off x="14020800" y="314325"/>
          <a:ext cx="2752725" cy="1352549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“Fattureˮ: Data Analyst Excel Calcolate il numero di fatture emesse per ognuna delle seguenti categorie: Abbigliamento Alimentari Personale Hardware Indicate il nome della categoria in colonna G e il corrispettivo conteggio in colonna H</a:t>
          </a:r>
        </a:p>
      </xdr:txBody>
    </xdr:sp>
    <xdr:clientData/>
  </xdr:oneCellAnchor>
  <xdr:oneCellAnchor>
    <xdr:from>
      <xdr:col>16</xdr:col>
      <xdr:colOff>523875</xdr:colOff>
      <xdr:row>10</xdr:row>
      <xdr:rowOff>47625</xdr:rowOff>
    </xdr:from>
    <xdr:ext cx="2781300" cy="125730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34F84F8-813A-C8D3-D175-48EA9E7CDBA6}"/>
            </a:ext>
          </a:extLst>
        </xdr:cNvPr>
        <xdr:cNvSpPr txBox="1"/>
      </xdr:nvSpPr>
      <xdr:spPr>
        <a:xfrm>
          <a:off x="14011275" y="1762125"/>
          <a:ext cx="2781300" cy="125730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“Fattureˮ: Calcolate il numero di fatture emesse per ognuna dei seguenti clienti: H&amp;B Allstate Canon USA America Online Biobottoms Epcot Center Biergarten Indicate il nome della categoria in colonna G e il corrispettivo contegg</a:t>
          </a:r>
        </a:p>
      </xdr:txBody>
    </xdr:sp>
    <xdr:clientData/>
  </xdr:oneCellAnchor>
  <xdr:oneCellAnchor>
    <xdr:from>
      <xdr:col>16</xdr:col>
      <xdr:colOff>533400</xdr:colOff>
      <xdr:row>18</xdr:row>
      <xdr:rowOff>47624</xdr:rowOff>
    </xdr:from>
    <xdr:ext cx="2552700" cy="1438275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B29504D1-9E26-3247-0762-FACC8853E64C}"/>
            </a:ext>
          </a:extLst>
        </xdr:cNvPr>
        <xdr:cNvSpPr txBox="1"/>
      </xdr:nvSpPr>
      <xdr:spPr>
        <a:xfrm>
          <a:off x="14020800" y="3133724"/>
          <a:ext cx="2552700" cy="143827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“Fattureˮ: Data Analyst Excel Calcolate il totale fatturato per ognuna delle seguenti categorie: Abbigliamento Alimentari Personale Hardware Indicate il nome della categoria in colonna G e il risultato in colonna I</a:t>
          </a:r>
        </a:p>
      </xdr:txBody>
    </xdr:sp>
    <xdr:clientData/>
  </xdr:oneCellAnchor>
  <xdr:oneCellAnchor>
    <xdr:from>
      <xdr:col>17</xdr:col>
      <xdr:colOff>9525</xdr:colOff>
      <xdr:row>27</xdr:row>
      <xdr:rowOff>133350</xdr:rowOff>
    </xdr:from>
    <xdr:ext cx="2666999" cy="1552575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26D443F3-B7D0-4EE3-BEF2-3206267D75BE}"/>
            </a:ext>
          </a:extLst>
        </xdr:cNvPr>
        <xdr:cNvSpPr txBox="1"/>
      </xdr:nvSpPr>
      <xdr:spPr>
        <a:xfrm>
          <a:off x="14230350" y="4762500"/>
          <a:ext cx="2666999" cy="1552575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Utilizzate i dati presenti nel foglio “Fattureˮ: Calcolate il totale fatturato per ognuna dei seguenti clienti: H&amp;B Allstate Canon USA America Online Biobottoms Epcot Center Biergarten Indicate il nome della categoria in colonna G e il risultato in colonna I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_xlfn.IFS(Table_1[[#This Row],[Column2]]=40,"Sufficiente",Table_1[[#This Row],[Column2]]=0,"Respinto",Table_1[[#This Row],[Column2]]=60,"Discreto",Table_1[[#This Row],[Column2]]=70,"Buono")</calculatedColumnFormula>
    </tableColumn>
    <tableColumn id="4" xr3:uid="{9C747CED-32BE-44EF-ADB5-CEE8114E4288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2" sqref="E2:E337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4.5703125" bestFit="1" customWidth="1"/>
    <col min="5" max="5" width="68" bestFit="1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 t="s">
        <v>569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>
        <f>C2*$M$2</f>
        <v>56200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15">
        <v>0.2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C3*$M$2</f>
        <v>64600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C67*$M$2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4">C131*$M$2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C195*$M$2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C259*$M$2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C323*$M$2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G10" sqref="G10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19.28515625" customWidth="1"/>
    <col min="4" max="4" width="14" customWidth="1"/>
    <col min="5" max="5" width="9.28515625" customWidth="1"/>
    <col min="6" max="6" width="7.28515625" customWidth="1"/>
    <col min="7" max="7" width="14.28515625" customWidth="1"/>
    <col min="8" max="8" width="15.7109375" bestFit="1" customWidth="1"/>
    <col min="9" max="26" width="9.28515625" customWidth="1"/>
  </cols>
  <sheetData>
    <row r="1" spans="1:26" ht="12.75" customHeight="1" x14ac:dyDescent="0.2">
      <c r="A1" s="6" t="s">
        <v>484</v>
      </c>
      <c r="B1" s="6" t="s">
        <v>485</v>
      </c>
      <c r="C1" s="6" t="s">
        <v>571</v>
      </c>
      <c r="D1" s="6" t="s">
        <v>571</v>
      </c>
      <c r="E1" s="4"/>
      <c r="F1" s="4"/>
      <c r="G1" t="s">
        <v>574</v>
      </c>
      <c r="H1" s="4" t="s">
        <v>572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 cm="1">
        <f t="array" ref="C2">_xlfn.IFS(Table_1[[#This Row],[Column2]]=40,"Sufficiente",Table_1[[#This Row],[Column2]]=0,"Respinto",Table_1[[#This Row],[Column2]]=60,"Discreto",Table_1[[#This Row],[Column2]]=70,"Buono")</f>
        <v>Sufficiente</v>
      </c>
      <c r="D2" s="8" t="str">
        <f>VLOOKUP(Table_1[[#This Row],[Column2]],G:H,2,TRUE)</f>
        <v>Sufficiente</v>
      </c>
      <c r="E2" s="8"/>
      <c r="F2" s="8"/>
      <c r="G2" s="8">
        <v>0</v>
      </c>
      <c r="H2" s="8" t="s">
        <v>573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 cm="1">
        <f t="array" ref="C3">_xlfn.IFS(Table_1[[#This Row],[Column2]]=40,"Sufficiente",Table_1[[#This Row],[Column2]]=0,"Respinto",Table_1[[#This Row],[Column2]]=60,"Discreto",Table_1[[#This Row],[Column2]]=70,"Buono")</f>
        <v>Discreto</v>
      </c>
      <c r="D3" s="8" t="str">
        <f>VLOOKUP(Table_1[[#This Row],[Column2]],G:H,2,TRUE)</f>
        <v>Discreto</v>
      </c>
      <c r="E3" s="8"/>
      <c r="F3" s="8"/>
      <c r="G3" s="8">
        <v>40</v>
      </c>
      <c r="H3" s="8" t="s">
        <v>575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 cm="1">
        <f t="array" ref="C4">_xlfn.IFS(Table_1[[#This Row],[Column2]]=40,"Sufficiente",Table_1[[#This Row],[Column2]]=0,"Respinto",Table_1[[#This Row],[Column2]]=60,"Discreto",Table_1[[#This Row],[Column2]]=70,"Buono")</f>
        <v>Discreto</v>
      </c>
      <c r="D4" s="8" t="str">
        <f>VLOOKUP(Table_1[[#This Row],[Column2]],G:H,2,TRUE)</f>
        <v>Discreto</v>
      </c>
      <c r="E4" s="8"/>
      <c r="F4" s="8"/>
      <c r="G4" s="8">
        <v>60</v>
      </c>
      <c r="H4" s="8" t="s">
        <v>576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 cm="1">
        <f t="array" ref="C5">_xlfn.IFS(Table_1[[#This Row],[Column2]]=40,"Sufficiente",Table_1[[#This Row],[Column2]]=0,"Respinto",Table_1[[#This Row],[Column2]]=60,"Discreto",Table_1[[#This Row],[Column2]]=70,"Buono")</f>
        <v>Sufficiente</v>
      </c>
      <c r="D5" s="8" t="str">
        <f>VLOOKUP(Table_1[[#This Row],[Column2]],G:H,2,TRUE)</f>
        <v>Sufficiente</v>
      </c>
      <c r="E5" s="8"/>
      <c r="F5" s="8"/>
      <c r="G5" s="8">
        <v>70</v>
      </c>
      <c r="H5" s="8" t="s">
        <v>577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 cm="1">
        <f t="array" ref="C6">_xlfn.IFS(Table_1[[#This Row],[Column2]]=40,"Sufficiente",Table_1[[#This Row],[Column2]]=0,"Respinto",Table_1[[#This Row],[Column2]]=60,"Discreto",Table_1[[#This Row],[Column2]]=70,"Buono")</f>
        <v>Buono</v>
      </c>
      <c r="D6" s="8" t="str">
        <f>VLOOKUP(Table_1[[#This Row],[Column2]],G:H,2,TRUE)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 cm="1">
        <f t="array" ref="C7">_xlfn.IFS(Table_1[[#This Row],[Column2]]=40,"Sufficiente",Table_1[[#This Row],[Column2]]=0,"Respinto",Table_1[[#This Row],[Column2]]=60,"Discreto",Table_1[[#This Row],[Column2]]=70,"Buono")</f>
        <v>Respinto</v>
      </c>
      <c r="D7" s="8" t="str">
        <f>VLOOKUP(Table_1[[#This Row],[Column2]],G:H,2,TRUE)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 cm="1">
        <f t="array" ref="C8">_xlfn.IFS(Table_1[[#This Row],[Column2]]=40,"Sufficiente",Table_1[[#This Row],[Column2]]=0,"Respinto",Table_1[[#This Row],[Column2]]=60,"Discreto",Table_1[[#This Row],[Column2]]=70,"Buono")</f>
        <v>Respinto</v>
      </c>
      <c r="D8" s="8" t="str">
        <f>VLOOKUP(Table_1[[#This Row],[Column2]],G:H,2,TRUE)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H24" sqref="H24:H27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8" customWidth="1"/>
    <col min="5" max="5" width="21.7109375" customWidth="1"/>
    <col min="6" max="6" width="3.7109375" customWidth="1"/>
    <col min="7" max="7" width="11.85546875" bestFit="1" customWidth="1"/>
    <col min="8" max="8" width="20.140625" bestFit="1" customWidth="1"/>
    <col min="9" max="24" width="8.7109375" customWidth="1"/>
  </cols>
  <sheetData>
    <row r="1" spans="1:24" ht="13.5" customHeight="1" thickBo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 t="s">
        <v>495</v>
      </c>
      <c r="H1" s="11" t="s">
        <v>578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COUNTIF(C2:D81,G2)</f>
        <v>11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COUNTIF(C3:D82,G3)</f>
        <v>5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</row>
    <row r="8" spans="1:24" ht="13.5" customHeight="1" x14ac:dyDescent="0.25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1" t="s">
        <v>494</v>
      </c>
      <c r="H8" s="11" t="s">
        <v>578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t="s">
        <v>501</v>
      </c>
      <c r="H9">
        <f>COUNTIF(B:B,G9)</f>
        <v>2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7" t="s">
        <v>507</v>
      </c>
      <c r="H10">
        <f t="shared" ref="H10:H15" si="1">COUNTIF(B:B,G10)</f>
        <v>1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t="s">
        <v>509</v>
      </c>
      <c r="H11">
        <f t="shared" si="1"/>
        <v>1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t="s">
        <v>511</v>
      </c>
      <c r="H12">
        <f t="shared" si="1"/>
        <v>1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t="s">
        <v>525</v>
      </c>
      <c r="H13">
        <f t="shared" si="1"/>
        <v>4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t="s">
        <v>528</v>
      </c>
      <c r="H14">
        <f t="shared" si="1"/>
        <v>2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t="s">
        <v>529</v>
      </c>
      <c r="H15">
        <f t="shared" si="1"/>
        <v>1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12" ht="13.5" customHeight="1" x14ac:dyDescent="0.25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G17" s="11" t="s">
        <v>495</v>
      </c>
      <c r="H17" s="11" t="s">
        <v>579</v>
      </c>
    </row>
    <row r="18" spans="1:12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G18" t="s">
        <v>558</v>
      </c>
      <c r="H18">
        <f>SUMIF(C:C,G18,D:D)</f>
        <v>30860</v>
      </c>
    </row>
    <row r="19" spans="1:12" ht="13.5" customHeight="1" x14ac:dyDescent="0.25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t="s">
        <v>506</v>
      </c>
      <c r="H19">
        <f t="shared" ref="H19:H20" si="2">SUMIF(C:C,G19,D:D)</f>
        <v>54000</v>
      </c>
      <c r="L19" s="16" t="s">
        <v>507</v>
      </c>
    </row>
    <row r="20" spans="1:12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G20" t="s">
        <v>547</v>
      </c>
      <c r="H20">
        <f t="shared" si="2"/>
        <v>6765600</v>
      </c>
    </row>
    <row r="21" spans="1:12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12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12" ht="13.5" customHeight="1" x14ac:dyDescent="0.25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G23" s="18" t="s">
        <v>494</v>
      </c>
      <c r="H23" s="11" t="s">
        <v>579</v>
      </c>
    </row>
    <row r="24" spans="1:12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G24" t="s">
        <v>501</v>
      </c>
      <c r="H24">
        <f>SUMIF(B:B,G24,D:D)</f>
        <v>73450</v>
      </c>
    </row>
    <row r="25" spans="1:12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G25" t="s">
        <v>509</v>
      </c>
      <c r="H25">
        <f t="shared" ref="H25:H27" si="3">SUMIF(B:B,G25,D:D)</f>
        <v>98450</v>
      </c>
    </row>
    <row r="26" spans="1:12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G26" t="s">
        <v>511</v>
      </c>
      <c r="H26">
        <f t="shared" si="3"/>
        <v>7950</v>
      </c>
    </row>
    <row r="27" spans="1:12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G27" t="s">
        <v>525</v>
      </c>
      <c r="H27">
        <f t="shared" si="3"/>
        <v>283000</v>
      </c>
    </row>
    <row r="28" spans="1:12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12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12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12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12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autoFilter ref="A1:X1" xr:uid="{00000000-0001-0000-0200-000000000000}"/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Alessandro Saladino</cp:lastModifiedBy>
  <dcterms:created xsi:type="dcterms:W3CDTF">2005-04-12T12:35:30Z</dcterms:created>
  <dcterms:modified xsi:type="dcterms:W3CDTF">2026-02-13T19:32:19Z</dcterms:modified>
</cp:coreProperties>
</file>